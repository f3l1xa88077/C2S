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a4fd901eb976e385/Desktop/C2Sv1_PowerTest/Low_Power_Multimeter/"/>
    </mc:Choice>
  </mc:AlternateContent>
  <xr:revisionPtr revIDLastSave="267" documentId="11_F25DC773A252ABDACC10487EC95C72D65BDE58EF" xr6:coauthVersionLast="47" xr6:coauthVersionMax="47" xr10:uidLastSave="{F196F4A8-A1CD-4F67-9998-712C2E38E491}"/>
  <bookViews>
    <workbookView xWindow="-120" yWindow="-120" windowWidth="38640" windowHeight="21120" activeTab="1" xr2:uid="{00000000-000D-0000-FFFF-FFFF00000000}"/>
  </bookViews>
  <sheets>
    <sheet name="SYS INFO" sheetId="2" r:id="rId1"/>
    <sheet name="Baselin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0" i="1" l="1"/>
  <c r="K30" i="1"/>
  <c r="H4" i="1"/>
  <c r="H5" i="1"/>
  <c r="H6" i="1"/>
  <c r="H7" i="1"/>
  <c r="H8" i="1"/>
  <c r="D5" i="1"/>
  <c r="D6" i="1"/>
  <c r="D7" i="1"/>
  <c r="D8" i="1"/>
  <c r="D4" i="1"/>
  <c r="H10" i="1" l="1"/>
  <c r="D10" i="1"/>
</calcChain>
</file>

<file path=xl/sharedStrings.xml><?xml version="1.0" encoding="utf-8"?>
<sst xmlns="http://schemas.openxmlformats.org/spreadsheetml/2006/main" count="40" uniqueCount="31">
  <si>
    <t>Test #</t>
  </si>
  <si>
    <t>Shunt Voltage (mV)</t>
  </si>
  <si>
    <t>Item</t>
  </si>
  <si>
    <t>Value</t>
  </si>
  <si>
    <t>Units</t>
  </si>
  <si>
    <t>Shunt Resistor</t>
  </si>
  <si>
    <t>Ohm</t>
  </si>
  <si>
    <t>Estimated System Power (mW)</t>
  </si>
  <si>
    <t>Estimated LED Power (mW)</t>
  </si>
  <si>
    <t>VSEL</t>
  </si>
  <si>
    <t>VCC</t>
  </si>
  <si>
    <t>V</t>
  </si>
  <si>
    <t>Average</t>
  </si>
  <si>
    <t>LED Resistor</t>
  </si>
  <si>
    <t>LED Forward Voltage</t>
  </si>
  <si>
    <t>HSMH-H190</t>
  </si>
  <si>
    <t>Part Number</t>
  </si>
  <si>
    <t>CRCW0603470RFKEC</t>
  </si>
  <si>
    <t>ERJ-6DQF1R6V</t>
  </si>
  <si>
    <t>Shunt Voltage (V)</t>
  </si>
  <si>
    <t>Measured FV with multimeter</t>
  </si>
  <si>
    <t>Notes</t>
  </si>
  <si>
    <t>CSA Power (mW) [QSPI SLEEP]</t>
  </si>
  <si>
    <t>CSA Power (mW) [QSPI ACTIVE]</t>
  </si>
  <si>
    <t>Current Sense Amplifier (Multimeter)</t>
  </si>
  <si>
    <t>3V3 LED (Multimeter)</t>
  </si>
  <si>
    <t>System Power (CSA)</t>
  </si>
  <si>
    <t>Virtually no difference between QSPI in active/sleep mode.</t>
  </si>
  <si>
    <t>Makes sense as difference between the two is 40uA which is approx 130uW.</t>
  </si>
  <si>
    <t>Cannot measure power during read/write as it is a blocking function</t>
  </si>
  <si>
    <t>Can extrapolate from pg. 113 of datasheet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</si>
</sst>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i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/>
    <xf numFmtId="0" fontId="2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1" fillId="2" borderId="1" xfId="0" applyFont="1" applyFill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2" fontId="2" fillId="0" borderId="1" xfId="0" applyNumberFormat="1" applyFont="1" applyBorder="1"/>
    <xf numFmtId="164" fontId="2" fillId="0" borderId="1" xfId="0" applyNumberFormat="1" applyFont="1" applyBorder="1"/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221BD-7002-446A-8FF9-DEDB49D8BCE4}">
  <dimension ref="B2:F7"/>
  <sheetViews>
    <sheetView workbookViewId="0">
      <selection activeCell="C5" sqref="C5"/>
    </sheetView>
  </sheetViews>
  <sheetFormatPr defaultRowHeight="14.25" x14ac:dyDescent="0.2"/>
  <cols>
    <col min="1" max="1" width="9.140625" style="2"/>
    <col min="2" max="2" width="23" style="2" customWidth="1"/>
    <col min="3" max="4" width="12.28515625" style="2" customWidth="1"/>
    <col min="5" max="5" width="33.5703125" style="2" customWidth="1"/>
    <col min="6" max="6" width="44.5703125" style="2" customWidth="1"/>
    <col min="7" max="16384" width="9.140625" style="2"/>
  </cols>
  <sheetData>
    <row r="2" spans="2:6" ht="24" customHeight="1" x14ac:dyDescent="0.2">
      <c r="B2" s="4" t="s">
        <v>2</v>
      </c>
      <c r="C2" s="4" t="s">
        <v>3</v>
      </c>
      <c r="D2" s="4" t="s">
        <v>4</v>
      </c>
      <c r="E2" s="4" t="s">
        <v>16</v>
      </c>
      <c r="F2" s="4" t="s">
        <v>21</v>
      </c>
    </row>
    <row r="3" spans="2:6" ht="15" x14ac:dyDescent="0.2">
      <c r="B3" s="1" t="s">
        <v>5</v>
      </c>
      <c r="C3" s="3">
        <v>1.6</v>
      </c>
      <c r="D3" s="3" t="s">
        <v>6</v>
      </c>
      <c r="E3" s="3" t="s">
        <v>18</v>
      </c>
      <c r="F3" s="5"/>
    </row>
    <row r="4" spans="2:6" ht="15" x14ac:dyDescent="0.2">
      <c r="B4" s="1" t="s">
        <v>9</v>
      </c>
      <c r="C4" s="3">
        <v>5</v>
      </c>
      <c r="D4" s="3" t="s">
        <v>11</v>
      </c>
      <c r="E4" s="3"/>
      <c r="F4" s="5"/>
    </row>
    <row r="5" spans="2:6" ht="15" x14ac:dyDescent="0.2">
      <c r="B5" s="1" t="s">
        <v>10</v>
      </c>
      <c r="C5" s="3">
        <v>3.3</v>
      </c>
      <c r="D5" s="3" t="s">
        <v>11</v>
      </c>
      <c r="E5" s="3"/>
      <c r="F5" s="5"/>
    </row>
    <row r="6" spans="2:6" ht="15" x14ac:dyDescent="0.2">
      <c r="B6" s="1" t="s">
        <v>13</v>
      </c>
      <c r="C6" s="3">
        <v>470</v>
      </c>
      <c r="D6" s="3" t="s">
        <v>6</v>
      </c>
      <c r="E6" s="3" t="s">
        <v>17</v>
      </c>
      <c r="F6" s="5"/>
    </row>
    <row r="7" spans="2:6" ht="15" x14ac:dyDescent="0.2">
      <c r="B7" s="1" t="s">
        <v>14</v>
      </c>
      <c r="C7" s="3">
        <v>1.79</v>
      </c>
      <c r="D7" s="3" t="s">
        <v>11</v>
      </c>
      <c r="E7" s="3" t="s">
        <v>15</v>
      </c>
      <c r="F7" s="5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N36"/>
  <sheetViews>
    <sheetView tabSelected="1" workbookViewId="0">
      <selection activeCell="G43" sqref="G43"/>
    </sheetView>
  </sheetViews>
  <sheetFormatPr defaultRowHeight="14.25" x14ac:dyDescent="0.2"/>
  <cols>
    <col min="1" max="1" width="9.140625" style="2"/>
    <col min="2" max="2" width="9" style="2" customWidth="1"/>
    <col min="3" max="3" width="22.85546875" style="2" customWidth="1"/>
    <col min="4" max="4" width="21.5703125" style="2" customWidth="1"/>
    <col min="5" max="5" width="9.140625" style="2"/>
    <col min="6" max="6" width="7.28515625" style="2" bestFit="1" customWidth="1"/>
    <col min="7" max="7" width="19.85546875" style="2" customWidth="1"/>
    <col min="8" max="8" width="22.42578125" style="2" customWidth="1"/>
    <col min="9" max="9" width="9.140625" style="2"/>
    <col min="10" max="10" width="9.42578125" style="2" bestFit="1" customWidth="1"/>
    <col min="11" max="11" width="22.28515625" style="2" customWidth="1"/>
    <col min="12" max="13" width="9.140625" style="2"/>
    <col min="14" max="14" width="20.7109375" style="2" customWidth="1"/>
    <col min="15" max="16384" width="9.140625" style="2"/>
  </cols>
  <sheetData>
    <row r="2" spans="2:14" ht="24" customHeight="1" x14ac:dyDescent="0.2">
      <c r="B2" s="11" t="s">
        <v>24</v>
      </c>
      <c r="C2" s="11"/>
      <c r="D2" s="11"/>
      <c r="F2" s="11" t="s">
        <v>25</v>
      </c>
      <c r="G2" s="11"/>
      <c r="H2" s="11"/>
      <c r="J2" s="12" t="s">
        <v>26</v>
      </c>
      <c r="K2" s="12"/>
      <c r="L2" s="12"/>
      <c r="M2" s="12"/>
      <c r="N2" s="12"/>
    </row>
    <row r="3" spans="2:14" ht="37.5" customHeight="1" x14ac:dyDescent="0.2">
      <c r="B3" s="4" t="s">
        <v>0</v>
      </c>
      <c r="C3" s="6" t="s">
        <v>1</v>
      </c>
      <c r="D3" s="6" t="s">
        <v>7</v>
      </c>
      <c r="F3" s="4" t="s">
        <v>0</v>
      </c>
      <c r="G3" s="6" t="s">
        <v>19</v>
      </c>
      <c r="H3" s="6" t="s">
        <v>8</v>
      </c>
      <c r="J3" s="4" t="s">
        <v>0</v>
      </c>
      <c r="K3" s="6" t="s">
        <v>22</v>
      </c>
      <c r="M3" s="4" t="s">
        <v>0</v>
      </c>
      <c r="N3" s="6" t="s">
        <v>23</v>
      </c>
    </row>
    <row r="4" spans="2:14" x14ac:dyDescent="0.2">
      <c r="B4" s="3">
        <v>1</v>
      </c>
      <c r="C4" s="3">
        <v>49</v>
      </c>
      <c r="D4" s="8">
        <f>(C4/1000)/('SYS INFO'!$C$3)*'SYS INFO'!$C$4*1000</f>
        <v>153.125</v>
      </c>
      <c r="F4" s="3">
        <v>1</v>
      </c>
      <c r="G4" s="3">
        <v>1.5169999999999999</v>
      </c>
      <c r="H4" s="7">
        <f>(G4 / 'SYS INFO'!$C$6) * 'SYS INFO'!$C$5 * 1000</f>
        <v>10.651276595744681</v>
      </c>
      <c r="J4" s="3">
        <v>1</v>
      </c>
      <c r="K4" s="3">
        <v>151</v>
      </c>
      <c r="M4" s="3">
        <v>1</v>
      </c>
      <c r="N4" s="3">
        <v>149</v>
      </c>
    </row>
    <row r="5" spans="2:14" x14ac:dyDescent="0.2">
      <c r="B5" s="3">
        <v>2</v>
      </c>
      <c r="C5" s="3">
        <v>48.9</v>
      </c>
      <c r="D5" s="8">
        <f>(C5/1000)/('SYS INFO'!$C$3)*'SYS INFO'!$C$4*1000</f>
        <v>152.8125</v>
      </c>
      <c r="F5" s="3">
        <v>2</v>
      </c>
      <c r="G5" s="3">
        <v>1.5169999999999999</v>
      </c>
      <c r="H5" s="7">
        <f>(G5 / 'SYS INFO'!$C$6) * 'SYS INFO'!$C$5 * 1000</f>
        <v>10.651276595744681</v>
      </c>
      <c r="J5" s="3">
        <v>2</v>
      </c>
      <c r="K5" s="3">
        <v>150</v>
      </c>
      <c r="M5" s="3">
        <v>2</v>
      </c>
      <c r="N5" s="3">
        <v>152</v>
      </c>
    </row>
    <row r="6" spans="2:14" x14ac:dyDescent="0.2">
      <c r="B6" s="3">
        <v>3</v>
      </c>
      <c r="C6" s="3">
        <v>48.7</v>
      </c>
      <c r="D6" s="8">
        <f>(C6/1000)/('SYS INFO'!$C$3)*'SYS INFO'!$C$4*1000</f>
        <v>152.1875</v>
      </c>
      <c r="F6" s="3">
        <v>3</v>
      </c>
      <c r="G6" s="3">
        <v>1.5169999999999999</v>
      </c>
      <c r="H6" s="7">
        <f>(G6 / 'SYS INFO'!$C$6) * 'SYS INFO'!$C$5 * 1000</f>
        <v>10.651276595744681</v>
      </c>
      <c r="J6" s="3">
        <v>3</v>
      </c>
      <c r="K6" s="3">
        <v>150</v>
      </c>
      <c r="M6" s="3">
        <v>3</v>
      </c>
      <c r="N6" s="3">
        <v>150</v>
      </c>
    </row>
    <row r="7" spans="2:14" x14ac:dyDescent="0.2">
      <c r="B7" s="3">
        <v>4</v>
      </c>
      <c r="C7" s="3">
        <v>48.7</v>
      </c>
      <c r="D7" s="8">
        <f>(C7/1000)/('SYS INFO'!$C$3)*'SYS INFO'!$C$4*1000</f>
        <v>152.1875</v>
      </c>
      <c r="F7" s="3">
        <v>4</v>
      </c>
      <c r="G7" s="3">
        <v>1.5169999999999999</v>
      </c>
      <c r="H7" s="7">
        <f>(G7 / 'SYS INFO'!$C$6) * 'SYS INFO'!$C$5 * 1000</f>
        <v>10.651276595744681</v>
      </c>
      <c r="J7" s="3">
        <v>4</v>
      </c>
      <c r="K7" s="3">
        <v>149</v>
      </c>
      <c r="M7" s="3">
        <v>4</v>
      </c>
      <c r="N7" s="3">
        <v>149</v>
      </c>
    </row>
    <row r="8" spans="2:14" x14ac:dyDescent="0.2">
      <c r="B8" s="3">
        <v>5</v>
      </c>
      <c r="C8" s="3">
        <v>49</v>
      </c>
      <c r="D8" s="8">
        <f>(C8/1000)/('SYS INFO'!$C$3)*'SYS INFO'!$C$4*1000</f>
        <v>153.125</v>
      </c>
      <c r="F8" s="3">
        <v>5</v>
      </c>
      <c r="G8" s="3">
        <v>1.518</v>
      </c>
      <c r="H8" s="7">
        <f>(G8 / 'SYS INFO'!$C$6) * 'SYS INFO'!$C$5 * 1000</f>
        <v>10.658297872340425</v>
      </c>
      <c r="J8" s="3">
        <v>5</v>
      </c>
      <c r="K8" s="3">
        <v>149</v>
      </c>
      <c r="M8" s="3">
        <v>5</v>
      </c>
      <c r="N8" s="3">
        <v>152</v>
      </c>
    </row>
    <row r="9" spans="2:14" x14ac:dyDescent="0.2">
      <c r="J9" s="3">
        <v>6</v>
      </c>
      <c r="K9" s="3">
        <v>151</v>
      </c>
      <c r="M9" s="3">
        <v>6</v>
      </c>
      <c r="N9" s="3">
        <v>152</v>
      </c>
    </row>
    <row r="10" spans="2:14" ht="15" x14ac:dyDescent="0.2">
      <c r="C10" s="6" t="s">
        <v>12</v>
      </c>
      <c r="D10" s="10">
        <f>AVERAGE(D4:D8)</f>
        <v>152.6875</v>
      </c>
      <c r="G10" s="6" t="s">
        <v>12</v>
      </c>
      <c r="H10" s="9">
        <f>AVERAGE(H4:H8)</f>
        <v>10.652680851063831</v>
      </c>
      <c r="J10" s="3">
        <v>7</v>
      </c>
      <c r="K10" s="3">
        <v>151</v>
      </c>
      <c r="M10" s="3">
        <v>7</v>
      </c>
      <c r="N10" s="3">
        <v>149</v>
      </c>
    </row>
    <row r="11" spans="2:14" x14ac:dyDescent="0.2">
      <c r="J11" s="3">
        <v>8</v>
      </c>
      <c r="K11" s="3">
        <v>150</v>
      </c>
      <c r="M11" s="3">
        <v>8</v>
      </c>
      <c r="N11" s="3">
        <v>150</v>
      </c>
    </row>
    <row r="12" spans="2:14" x14ac:dyDescent="0.2">
      <c r="J12" s="3">
        <v>9</v>
      </c>
      <c r="K12" s="3">
        <v>152</v>
      </c>
      <c r="M12" s="3">
        <v>9</v>
      </c>
      <c r="N12" s="3">
        <v>152</v>
      </c>
    </row>
    <row r="13" spans="2:14" x14ac:dyDescent="0.2">
      <c r="J13" s="3">
        <v>10</v>
      </c>
      <c r="K13" s="3">
        <v>152</v>
      </c>
      <c r="M13" s="3">
        <v>10</v>
      </c>
      <c r="N13" s="3">
        <v>151</v>
      </c>
    </row>
    <row r="14" spans="2:14" x14ac:dyDescent="0.2">
      <c r="J14" s="3">
        <v>11</v>
      </c>
      <c r="K14" s="3">
        <v>152</v>
      </c>
      <c r="M14" s="3">
        <v>11</v>
      </c>
      <c r="N14" s="3">
        <v>150</v>
      </c>
    </row>
    <row r="15" spans="2:14" x14ac:dyDescent="0.2">
      <c r="J15" s="3">
        <v>12</v>
      </c>
      <c r="K15" s="3">
        <v>153</v>
      </c>
      <c r="M15" s="3">
        <v>12</v>
      </c>
      <c r="N15" s="3">
        <v>150</v>
      </c>
    </row>
    <row r="16" spans="2:14" x14ac:dyDescent="0.2">
      <c r="J16" s="3">
        <v>13</v>
      </c>
      <c r="K16" s="3">
        <v>150</v>
      </c>
      <c r="M16" s="3">
        <v>13</v>
      </c>
      <c r="N16" s="3">
        <v>149</v>
      </c>
    </row>
    <row r="17" spans="10:14" x14ac:dyDescent="0.2">
      <c r="J17" s="3">
        <v>14</v>
      </c>
      <c r="K17" s="3">
        <v>149</v>
      </c>
      <c r="M17" s="3">
        <v>14</v>
      </c>
      <c r="N17" s="3">
        <v>151</v>
      </c>
    </row>
    <row r="18" spans="10:14" x14ac:dyDescent="0.2">
      <c r="J18" s="3">
        <v>15</v>
      </c>
      <c r="K18" s="3">
        <v>149</v>
      </c>
      <c r="M18" s="3">
        <v>15</v>
      </c>
      <c r="N18" s="3">
        <v>151</v>
      </c>
    </row>
    <row r="19" spans="10:14" x14ac:dyDescent="0.2">
      <c r="J19" s="3">
        <v>16</v>
      </c>
      <c r="K19" s="3">
        <v>151</v>
      </c>
      <c r="M19" s="3">
        <v>16</v>
      </c>
      <c r="N19" s="3">
        <v>152</v>
      </c>
    </row>
    <row r="20" spans="10:14" x14ac:dyDescent="0.2">
      <c r="J20" s="3">
        <v>17</v>
      </c>
      <c r="K20" s="3">
        <v>153</v>
      </c>
      <c r="M20" s="3">
        <v>17</v>
      </c>
      <c r="N20" s="3">
        <v>149</v>
      </c>
    </row>
    <row r="21" spans="10:14" x14ac:dyDescent="0.2">
      <c r="J21" s="3">
        <v>18</v>
      </c>
      <c r="K21" s="3">
        <v>151</v>
      </c>
      <c r="M21" s="3">
        <v>18</v>
      </c>
      <c r="N21" s="3">
        <v>154</v>
      </c>
    </row>
    <row r="22" spans="10:14" x14ac:dyDescent="0.2">
      <c r="J22" s="3">
        <v>19</v>
      </c>
      <c r="K22" s="3">
        <v>151</v>
      </c>
      <c r="M22" s="3">
        <v>19</v>
      </c>
      <c r="N22" s="3">
        <v>152</v>
      </c>
    </row>
    <row r="23" spans="10:14" x14ac:dyDescent="0.2">
      <c r="J23" s="3">
        <v>20</v>
      </c>
      <c r="K23" s="3">
        <v>151</v>
      </c>
      <c r="M23" s="3">
        <v>20</v>
      </c>
      <c r="N23" s="3">
        <v>151</v>
      </c>
    </row>
    <row r="24" spans="10:14" x14ac:dyDescent="0.2">
      <c r="J24" s="3">
        <v>21</v>
      </c>
      <c r="K24" s="3">
        <v>148</v>
      </c>
      <c r="M24" s="3">
        <v>21</v>
      </c>
      <c r="N24" s="3">
        <v>151</v>
      </c>
    </row>
    <row r="25" spans="10:14" x14ac:dyDescent="0.2">
      <c r="J25" s="3">
        <v>22</v>
      </c>
      <c r="K25" s="3">
        <v>148</v>
      </c>
      <c r="M25" s="3">
        <v>22</v>
      </c>
      <c r="N25" s="3">
        <v>150</v>
      </c>
    </row>
    <row r="26" spans="10:14" x14ac:dyDescent="0.2">
      <c r="J26" s="3">
        <v>23</v>
      </c>
      <c r="K26" s="3">
        <v>152</v>
      </c>
      <c r="M26" s="3">
        <v>23</v>
      </c>
      <c r="N26" s="3">
        <v>152</v>
      </c>
    </row>
    <row r="27" spans="10:14" x14ac:dyDescent="0.2">
      <c r="J27" s="3">
        <v>24</v>
      </c>
      <c r="K27" s="3">
        <v>151</v>
      </c>
      <c r="M27" s="3">
        <v>24</v>
      </c>
      <c r="N27" s="3">
        <v>150</v>
      </c>
    </row>
    <row r="28" spans="10:14" x14ac:dyDescent="0.2">
      <c r="J28" s="3">
        <v>25</v>
      </c>
      <c r="K28" s="3">
        <v>148</v>
      </c>
      <c r="M28" s="3">
        <v>25</v>
      </c>
      <c r="N28" s="3">
        <v>149</v>
      </c>
    </row>
    <row r="30" spans="10:14" ht="30" x14ac:dyDescent="0.2">
      <c r="J30" s="6" t="s">
        <v>12</v>
      </c>
      <c r="K30" s="8">
        <f>AVERAGE(K4:K28)</f>
        <v>150.47999999999999</v>
      </c>
      <c r="M30" s="6" t="s">
        <v>12</v>
      </c>
      <c r="N30" s="8">
        <f>AVERAGE(N4:N28)</f>
        <v>150.68</v>
      </c>
    </row>
    <row r="32" spans="10:14" x14ac:dyDescent="0.2">
      <c r="J32" s="2" t="s">
        <v>27</v>
      </c>
    </row>
    <row r="33" spans="10:10" x14ac:dyDescent="0.2">
      <c r="J33" s="2" t="s">
        <v>28</v>
      </c>
    </row>
    <row r="35" spans="10:10" x14ac:dyDescent="0.2">
      <c r="J35" s="2" t="s">
        <v>29</v>
      </c>
    </row>
    <row r="36" spans="10:10" x14ac:dyDescent="0.2">
      <c r="J36" s="2" t="s">
        <v>30</v>
      </c>
    </row>
  </sheetData>
  <mergeCells count="3">
    <mergeCell ref="B2:D2"/>
    <mergeCell ref="F2:H2"/>
    <mergeCell ref="J2: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SYS INFO</vt:lpstr>
      <vt:lpstr>Baselines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 Abbott</dc:creator>
  <cp:lastModifiedBy>Felix Abbott</cp:lastModifiedBy>
  <dcterms:created xsi:type="dcterms:W3CDTF">2015-06-05T18:17:20Z</dcterms:created>
  <dcterms:modified xsi:type="dcterms:W3CDTF">2026-08-02T08:02:15Z</dcterms:modified>
</cp:coreProperties>
</file>