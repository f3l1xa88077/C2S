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GitHub\C2S\Testing\C2Sv1\SYSTEM\"/>
    </mc:Choice>
  </mc:AlternateContent>
  <xr:revisionPtr revIDLastSave="0" documentId="13_ncr:1_{21AEA6E1-3273-475D-B450-2D2F13012735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YS INFO" sheetId="2" r:id="rId1"/>
    <sheet name="Baselines" sheetId="1" r:id="rId2"/>
    <sheet name="Camera Test" sheetId="4" r:id="rId3"/>
    <sheet name="Budge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8" i="3"/>
  <c r="D9" i="3"/>
  <c r="D3" i="3"/>
  <c r="D5" i="3"/>
  <c r="C6" i="3"/>
  <c r="D6" i="3" s="1"/>
  <c r="D10" i="3"/>
  <c r="D7" i="3"/>
  <c r="U6" i="4"/>
  <c r="U5" i="4"/>
  <c r="U4" i="4"/>
  <c r="P5" i="4"/>
  <c r="P4" i="4"/>
  <c r="P6" i="4" s="1"/>
  <c r="M5" i="4"/>
  <c r="M4" i="4"/>
  <c r="M6" i="4" s="1"/>
  <c r="J4" i="4"/>
  <c r="J6" i="4" s="1"/>
  <c r="J5" i="4"/>
  <c r="N30" i="1"/>
  <c r="K30" i="1"/>
  <c r="H4" i="1"/>
  <c r="H5" i="1"/>
  <c r="H6" i="1"/>
  <c r="H7" i="1"/>
  <c r="H8" i="1"/>
  <c r="D5" i="1"/>
  <c r="D6" i="1"/>
  <c r="D7" i="1"/>
  <c r="D8" i="1"/>
  <c r="H10" i="1" l="1"/>
  <c r="D4" i="3" s="1"/>
  <c r="D10" i="1"/>
  <c r="D12" i="3" l="1"/>
  <c r="D14" i="3" s="1"/>
  <c r="D11" i="3"/>
  <c r="D13" i="3" s="1"/>
</calcChain>
</file>

<file path=xl/sharedStrings.xml><?xml version="1.0" encoding="utf-8"?>
<sst xmlns="http://schemas.openxmlformats.org/spreadsheetml/2006/main" count="100" uniqueCount="69">
  <si>
    <t>Test #</t>
  </si>
  <si>
    <t>Shunt Voltage (mV)</t>
  </si>
  <si>
    <t>Item</t>
  </si>
  <si>
    <t>Value</t>
  </si>
  <si>
    <t>Units</t>
  </si>
  <si>
    <t>Shunt Resistor</t>
  </si>
  <si>
    <t>Ohm</t>
  </si>
  <si>
    <t>Estimated System Power (mW)</t>
  </si>
  <si>
    <t>Estimated LED Power (mW)</t>
  </si>
  <si>
    <t>VSEL</t>
  </si>
  <si>
    <t>VCC</t>
  </si>
  <si>
    <t>V</t>
  </si>
  <si>
    <t>Average</t>
  </si>
  <si>
    <t>LED Resistor</t>
  </si>
  <si>
    <t>LED Forward Voltage</t>
  </si>
  <si>
    <t>HSMH-H190</t>
  </si>
  <si>
    <t>Part Number</t>
  </si>
  <si>
    <t>CRCW0603470RFKEC</t>
  </si>
  <si>
    <t>ERJ-6DQF1R6V</t>
  </si>
  <si>
    <t>Shunt Voltage (V)</t>
  </si>
  <si>
    <t>Measured FV with multimeter</t>
  </si>
  <si>
    <t>Notes</t>
  </si>
  <si>
    <t>CSA Power (mW) [QSPI SLEEP]</t>
  </si>
  <si>
    <t>CSA Power (mW) [QSPI ACTIVE]</t>
  </si>
  <si>
    <t>Current Sense Amplifier (Multimeter)</t>
  </si>
  <si>
    <t>3V3 LED (Multimeter)</t>
  </si>
  <si>
    <t>System Power (CSA)</t>
  </si>
  <si>
    <t>Virtually no difference between QSPI in active/sleep mode.</t>
  </si>
  <si>
    <t>Makes sense as difference between the two is 40uA which is approx 130uW.</t>
  </si>
  <si>
    <t>Cannot measure power during read/write as it is a blocking function</t>
  </si>
  <si>
    <t>Can extrapolate from pg. 113 of datasheet</t>
  </si>
  <si>
    <t>Current (mA)</t>
  </si>
  <si>
    <t>Power (mW)</t>
  </si>
  <si>
    <t>QSPI</t>
  </si>
  <si>
    <t>Camera</t>
  </si>
  <si>
    <t>MCU</t>
  </si>
  <si>
    <t>CSA</t>
  </si>
  <si>
    <t>LED</t>
  </si>
  <si>
    <t>HSE</t>
  </si>
  <si>
    <t>LSE</t>
  </si>
  <si>
    <t>System Power (mW)</t>
  </si>
  <si>
    <t>VGA Image</t>
  </si>
  <si>
    <t>QVGA Image</t>
  </si>
  <si>
    <t>Time (ms)</t>
  </si>
  <si>
    <t>CAMERA OFF</t>
  </si>
  <si>
    <t>Average Power (mW)</t>
  </si>
  <si>
    <t>QVGA</t>
  </si>
  <si>
    <t>VGA</t>
  </si>
  <si>
    <t>Image Capture</t>
  </si>
  <si>
    <t>CAMERA ON</t>
  </si>
  <si>
    <t>No Image Capture</t>
  </si>
  <si>
    <t>Image Transfer</t>
  </si>
  <si>
    <t>TRANSFER</t>
  </si>
  <si>
    <t>Difference</t>
  </si>
  <si>
    <t>No apparent difference in power consumption between VGA and QVGA outside of runtime as power difference within one magnitude of uncertainty</t>
  </si>
  <si>
    <t>USB</t>
  </si>
  <si>
    <t>System</t>
  </si>
  <si>
    <t>Power Summary</t>
  </si>
  <si>
    <t>USB (Data)</t>
  </si>
  <si>
    <t>Source</t>
  </si>
  <si>
    <t>Datasheet</t>
  </si>
  <si>
    <t>Measurement</t>
  </si>
  <si>
    <t>STM32CubeMX PCC</t>
  </si>
  <si>
    <t>Calculation</t>
  </si>
  <si>
    <t>LDO (Max)</t>
  </si>
  <si>
    <t>Maximum</t>
  </si>
  <si>
    <t>LDO (Typ.)</t>
  </si>
  <si>
    <t>Typical</t>
  </si>
  <si>
    <t>Measured voltages were exactly ideal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</si>
</sst>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sz val="10"/>
      <color theme="1"/>
      <name val="Arial"/>
      <family val="2"/>
    </font>
    <font>
      <i/>
      <sz val="10"/>
      <color theme="2" tint="-0.749992370372631"/>
      <name val="Arial"/>
      <family val="2"/>
    </font>
    <font>
      <i/>
      <sz val="10"/>
      <color theme="2" tint="-0.499984740745262"/>
      <name val="Arial"/>
      <family val="2"/>
    </font>
    <font>
      <sz val="8"/>
      <color theme="1"/>
      <name val="Arial"/>
      <family val="2"/>
    </font>
    <font>
      <i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/>
    <xf numFmtId="164" fontId="2" fillId="0" borderId="1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221BD-7002-446A-8FF9-DEDB49D8BCE4}">
  <dimension ref="B2:F9"/>
  <sheetViews>
    <sheetView workbookViewId="0">
      <selection activeCell="B14" sqref="B14"/>
    </sheetView>
  </sheetViews>
  <sheetFormatPr defaultRowHeight="14.25" x14ac:dyDescent="0.2"/>
  <cols>
    <col min="1" max="1" width="9.140625" style="2"/>
    <col min="2" max="2" width="23" style="2" customWidth="1"/>
    <col min="3" max="4" width="12.28515625" style="2" customWidth="1"/>
    <col min="5" max="5" width="33.5703125" style="2" customWidth="1"/>
    <col min="6" max="6" width="44.5703125" style="2" customWidth="1"/>
    <col min="7" max="16384" width="9.140625" style="2"/>
  </cols>
  <sheetData>
    <row r="2" spans="2:6" ht="24" customHeight="1" x14ac:dyDescent="0.2">
      <c r="B2" s="4" t="s">
        <v>2</v>
      </c>
      <c r="C2" s="4" t="s">
        <v>3</v>
      </c>
      <c r="D2" s="4" t="s">
        <v>4</v>
      </c>
      <c r="E2" s="4" t="s">
        <v>16</v>
      </c>
      <c r="F2" s="4" t="s">
        <v>21</v>
      </c>
    </row>
    <row r="3" spans="2:6" ht="15" x14ac:dyDescent="0.2">
      <c r="B3" s="1" t="s">
        <v>5</v>
      </c>
      <c r="C3" s="3">
        <v>1.6</v>
      </c>
      <c r="D3" s="3" t="s">
        <v>6</v>
      </c>
      <c r="E3" s="3" t="s">
        <v>18</v>
      </c>
      <c r="F3" s="5"/>
    </row>
    <row r="4" spans="2:6" ht="15" x14ac:dyDescent="0.2">
      <c r="B4" s="1" t="s">
        <v>9</v>
      </c>
      <c r="C4" s="3">
        <v>5</v>
      </c>
      <c r="D4" s="3" t="s">
        <v>11</v>
      </c>
      <c r="E4" s="3"/>
      <c r="F4" s="5"/>
    </row>
    <row r="5" spans="2:6" ht="15" x14ac:dyDescent="0.2">
      <c r="B5" s="1" t="s">
        <v>10</v>
      </c>
      <c r="C5" s="3">
        <v>3.3</v>
      </c>
      <c r="D5" s="3" t="s">
        <v>11</v>
      </c>
      <c r="E5" s="3"/>
      <c r="F5" s="5"/>
    </row>
    <row r="6" spans="2:6" ht="15" x14ac:dyDescent="0.2">
      <c r="B6" s="1" t="s">
        <v>13</v>
      </c>
      <c r="C6" s="3">
        <v>470</v>
      </c>
      <c r="D6" s="3" t="s">
        <v>6</v>
      </c>
      <c r="E6" s="3" t="s">
        <v>17</v>
      </c>
      <c r="F6" s="5"/>
    </row>
    <row r="7" spans="2:6" ht="15" x14ac:dyDescent="0.2">
      <c r="B7" s="1" t="s">
        <v>14</v>
      </c>
      <c r="C7" s="3">
        <v>1.79</v>
      </c>
      <c r="D7" s="3" t="s">
        <v>11</v>
      </c>
      <c r="E7" s="3" t="s">
        <v>15</v>
      </c>
      <c r="F7" s="5" t="s">
        <v>20</v>
      </c>
    </row>
    <row r="9" spans="2:6" x14ac:dyDescent="0.2">
      <c r="B9" s="20" t="s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36"/>
  <sheetViews>
    <sheetView workbookViewId="0">
      <selection activeCell="D4" sqref="D4"/>
    </sheetView>
  </sheetViews>
  <sheetFormatPr defaultRowHeight="14.25" x14ac:dyDescent="0.2"/>
  <cols>
    <col min="1" max="1" width="9.140625" style="2"/>
    <col min="2" max="2" width="9" style="2" customWidth="1"/>
    <col min="3" max="3" width="22.85546875" style="2" customWidth="1"/>
    <col min="4" max="4" width="21.5703125" style="2" customWidth="1"/>
    <col min="5" max="5" width="9.140625" style="2"/>
    <col min="6" max="6" width="7.28515625" style="2" bestFit="1" customWidth="1"/>
    <col min="7" max="7" width="19.85546875" style="2" customWidth="1"/>
    <col min="8" max="8" width="22.42578125" style="2" customWidth="1"/>
    <col min="9" max="9" width="9.140625" style="2"/>
    <col min="10" max="10" width="9.42578125" style="2" bestFit="1" customWidth="1"/>
    <col min="11" max="11" width="22.28515625" style="2" customWidth="1"/>
    <col min="12" max="13" width="9.140625" style="2"/>
    <col min="14" max="14" width="20.7109375" style="2" customWidth="1"/>
    <col min="15" max="16384" width="9.140625" style="2"/>
  </cols>
  <sheetData>
    <row r="2" spans="2:14" ht="24" customHeight="1" x14ac:dyDescent="0.2">
      <c r="B2" s="11" t="s">
        <v>24</v>
      </c>
      <c r="C2" s="11"/>
      <c r="D2" s="11"/>
      <c r="F2" s="11" t="s">
        <v>25</v>
      </c>
      <c r="G2" s="11"/>
      <c r="H2" s="11"/>
      <c r="J2" s="12" t="s">
        <v>26</v>
      </c>
      <c r="K2" s="12"/>
      <c r="L2" s="12"/>
      <c r="M2" s="12"/>
      <c r="N2" s="12"/>
    </row>
    <row r="3" spans="2:14" ht="37.5" customHeight="1" x14ac:dyDescent="0.2">
      <c r="B3" s="4" t="s">
        <v>0</v>
      </c>
      <c r="C3" s="6" t="s">
        <v>1</v>
      </c>
      <c r="D3" s="6" t="s">
        <v>7</v>
      </c>
      <c r="F3" s="4" t="s">
        <v>0</v>
      </c>
      <c r="G3" s="6" t="s">
        <v>19</v>
      </c>
      <c r="H3" s="6" t="s">
        <v>8</v>
      </c>
      <c r="J3" s="4" t="s">
        <v>0</v>
      </c>
      <c r="K3" s="6" t="s">
        <v>22</v>
      </c>
      <c r="M3" s="4" t="s">
        <v>0</v>
      </c>
      <c r="N3" s="6" t="s">
        <v>23</v>
      </c>
    </row>
    <row r="4" spans="2:14" x14ac:dyDescent="0.2">
      <c r="B4" s="3">
        <v>1</v>
      </c>
      <c r="C4" s="3">
        <v>49</v>
      </c>
      <c r="D4" s="8">
        <f>(C4/1000)/('SYS INFO'!$C$3)*'SYS INFO'!$C$4*1000</f>
        <v>153.125</v>
      </c>
      <c r="F4" s="3">
        <v>1</v>
      </c>
      <c r="G4" s="3">
        <v>1.5169999999999999</v>
      </c>
      <c r="H4" s="7">
        <f>(G4 / 'SYS INFO'!$C$6) * 'SYS INFO'!$C$5 * 1000</f>
        <v>10.651276595744681</v>
      </c>
      <c r="J4" s="3">
        <v>1</v>
      </c>
      <c r="K4" s="3">
        <v>151</v>
      </c>
      <c r="M4" s="3">
        <v>1</v>
      </c>
      <c r="N4" s="3">
        <v>149</v>
      </c>
    </row>
    <row r="5" spans="2:14" x14ac:dyDescent="0.2">
      <c r="B5" s="3">
        <v>2</v>
      </c>
      <c r="C5" s="3">
        <v>48.9</v>
      </c>
      <c r="D5" s="8">
        <f>(C5/1000)/('SYS INFO'!$C$3)*'SYS INFO'!$C$4*1000</f>
        <v>152.8125</v>
      </c>
      <c r="F5" s="3">
        <v>2</v>
      </c>
      <c r="G5" s="3">
        <v>1.5169999999999999</v>
      </c>
      <c r="H5" s="7">
        <f>(G5 / 'SYS INFO'!$C$6) * 'SYS INFO'!$C$5 * 1000</f>
        <v>10.651276595744681</v>
      </c>
      <c r="J5" s="3">
        <v>2</v>
      </c>
      <c r="K5" s="3">
        <v>150</v>
      </c>
      <c r="M5" s="3">
        <v>2</v>
      </c>
      <c r="N5" s="3">
        <v>152</v>
      </c>
    </row>
    <row r="6" spans="2:14" x14ac:dyDescent="0.2">
      <c r="B6" s="3">
        <v>3</v>
      </c>
      <c r="C6" s="3">
        <v>48.7</v>
      </c>
      <c r="D6" s="8">
        <f>(C6/1000)/('SYS INFO'!$C$3)*'SYS INFO'!$C$4*1000</f>
        <v>152.1875</v>
      </c>
      <c r="F6" s="3">
        <v>3</v>
      </c>
      <c r="G6" s="3">
        <v>1.5169999999999999</v>
      </c>
      <c r="H6" s="7">
        <f>(G6 / 'SYS INFO'!$C$6) * 'SYS INFO'!$C$5 * 1000</f>
        <v>10.651276595744681</v>
      </c>
      <c r="J6" s="3">
        <v>3</v>
      </c>
      <c r="K6" s="3">
        <v>150</v>
      </c>
      <c r="M6" s="3">
        <v>3</v>
      </c>
      <c r="N6" s="3">
        <v>150</v>
      </c>
    </row>
    <row r="7" spans="2:14" x14ac:dyDescent="0.2">
      <c r="B7" s="3">
        <v>4</v>
      </c>
      <c r="C7" s="3">
        <v>48.7</v>
      </c>
      <c r="D7" s="8">
        <f>(C7/1000)/('SYS INFO'!$C$3)*'SYS INFO'!$C$4*1000</f>
        <v>152.1875</v>
      </c>
      <c r="F7" s="3">
        <v>4</v>
      </c>
      <c r="G7" s="3">
        <v>1.5169999999999999</v>
      </c>
      <c r="H7" s="7">
        <f>(G7 / 'SYS INFO'!$C$6) * 'SYS INFO'!$C$5 * 1000</f>
        <v>10.651276595744681</v>
      </c>
      <c r="J7" s="3">
        <v>4</v>
      </c>
      <c r="K7" s="3">
        <v>149</v>
      </c>
      <c r="M7" s="3">
        <v>4</v>
      </c>
      <c r="N7" s="3">
        <v>149</v>
      </c>
    </row>
    <row r="8" spans="2:14" x14ac:dyDescent="0.2">
      <c r="B8" s="3">
        <v>5</v>
      </c>
      <c r="C8" s="3">
        <v>49</v>
      </c>
      <c r="D8" s="8">
        <f>(C8/1000)/('SYS INFO'!$C$3)*'SYS INFO'!$C$4*1000</f>
        <v>153.125</v>
      </c>
      <c r="F8" s="3">
        <v>5</v>
      </c>
      <c r="G8" s="3">
        <v>1.518</v>
      </c>
      <c r="H8" s="7">
        <f>(G8 / 'SYS INFO'!$C$6) * 'SYS INFO'!$C$5 * 1000</f>
        <v>10.658297872340425</v>
      </c>
      <c r="J8" s="3">
        <v>5</v>
      </c>
      <c r="K8" s="3">
        <v>149</v>
      </c>
      <c r="M8" s="3">
        <v>5</v>
      </c>
      <c r="N8" s="3">
        <v>152</v>
      </c>
    </row>
    <row r="9" spans="2:14" x14ac:dyDescent="0.2">
      <c r="J9" s="3">
        <v>6</v>
      </c>
      <c r="K9" s="3">
        <v>151</v>
      </c>
      <c r="M9" s="3">
        <v>6</v>
      </c>
      <c r="N9" s="3">
        <v>152</v>
      </c>
    </row>
    <row r="10" spans="2:14" ht="15" x14ac:dyDescent="0.2">
      <c r="C10" s="6" t="s">
        <v>12</v>
      </c>
      <c r="D10" s="10">
        <f>AVERAGE(D4:D8)</f>
        <v>152.6875</v>
      </c>
      <c r="G10" s="6" t="s">
        <v>12</v>
      </c>
      <c r="H10" s="9">
        <f>AVERAGE(H4:H8)</f>
        <v>10.652680851063831</v>
      </c>
      <c r="J10" s="3">
        <v>7</v>
      </c>
      <c r="K10" s="3">
        <v>151</v>
      </c>
      <c r="M10" s="3">
        <v>7</v>
      </c>
      <c r="N10" s="3">
        <v>149</v>
      </c>
    </row>
    <row r="11" spans="2:14" x14ac:dyDescent="0.2">
      <c r="J11" s="3">
        <v>8</v>
      </c>
      <c r="K11" s="3">
        <v>150</v>
      </c>
      <c r="M11" s="3">
        <v>8</v>
      </c>
      <c r="N11" s="3">
        <v>150</v>
      </c>
    </row>
    <row r="12" spans="2:14" x14ac:dyDescent="0.2">
      <c r="J12" s="3">
        <v>9</v>
      </c>
      <c r="K12" s="3">
        <v>152</v>
      </c>
      <c r="M12" s="3">
        <v>9</v>
      </c>
      <c r="N12" s="3">
        <v>152</v>
      </c>
    </row>
    <row r="13" spans="2:14" x14ac:dyDescent="0.2">
      <c r="J13" s="3">
        <v>10</v>
      </c>
      <c r="K13" s="3">
        <v>152</v>
      </c>
      <c r="M13" s="3">
        <v>10</v>
      </c>
      <c r="N13" s="3">
        <v>151</v>
      </c>
    </row>
    <row r="14" spans="2:14" x14ac:dyDescent="0.2">
      <c r="J14" s="3">
        <v>11</v>
      </c>
      <c r="K14" s="3">
        <v>152</v>
      </c>
      <c r="M14" s="3">
        <v>11</v>
      </c>
      <c r="N14" s="3">
        <v>150</v>
      </c>
    </row>
    <row r="15" spans="2:14" x14ac:dyDescent="0.2">
      <c r="J15" s="3">
        <v>12</v>
      </c>
      <c r="K15" s="3">
        <v>153</v>
      </c>
      <c r="M15" s="3">
        <v>12</v>
      </c>
      <c r="N15" s="3">
        <v>150</v>
      </c>
    </row>
    <row r="16" spans="2:14" x14ac:dyDescent="0.2">
      <c r="J16" s="3">
        <v>13</v>
      </c>
      <c r="K16" s="3">
        <v>150</v>
      </c>
      <c r="M16" s="3">
        <v>13</v>
      </c>
      <c r="N16" s="3">
        <v>149</v>
      </c>
    </row>
    <row r="17" spans="10:14" x14ac:dyDescent="0.2">
      <c r="J17" s="3">
        <v>14</v>
      </c>
      <c r="K17" s="3">
        <v>149</v>
      </c>
      <c r="M17" s="3">
        <v>14</v>
      </c>
      <c r="N17" s="3">
        <v>151</v>
      </c>
    </row>
    <row r="18" spans="10:14" x14ac:dyDescent="0.2">
      <c r="J18" s="3">
        <v>15</v>
      </c>
      <c r="K18" s="3">
        <v>149</v>
      </c>
      <c r="M18" s="3">
        <v>15</v>
      </c>
      <c r="N18" s="3">
        <v>151</v>
      </c>
    </row>
    <row r="19" spans="10:14" x14ac:dyDescent="0.2">
      <c r="J19" s="3">
        <v>16</v>
      </c>
      <c r="K19" s="3">
        <v>151</v>
      </c>
      <c r="M19" s="3">
        <v>16</v>
      </c>
      <c r="N19" s="3">
        <v>152</v>
      </c>
    </row>
    <row r="20" spans="10:14" x14ac:dyDescent="0.2">
      <c r="J20" s="3">
        <v>17</v>
      </c>
      <c r="K20" s="3">
        <v>153</v>
      </c>
      <c r="M20" s="3">
        <v>17</v>
      </c>
      <c r="N20" s="3">
        <v>149</v>
      </c>
    </row>
    <row r="21" spans="10:14" x14ac:dyDescent="0.2">
      <c r="J21" s="3">
        <v>18</v>
      </c>
      <c r="K21" s="3">
        <v>151</v>
      </c>
      <c r="M21" s="3">
        <v>18</v>
      </c>
      <c r="N21" s="3">
        <v>154</v>
      </c>
    </row>
    <row r="22" spans="10:14" x14ac:dyDescent="0.2">
      <c r="J22" s="3">
        <v>19</v>
      </c>
      <c r="K22" s="3">
        <v>151</v>
      </c>
      <c r="M22" s="3">
        <v>19</v>
      </c>
      <c r="N22" s="3">
        <v>152</v>
      </c>
    </row>
    <row r="23" spans="10:14" x14ac:dyDescent="0.2">
      <c r="J23" s="3">
        <v>20</v>
      </c>
      <c r="K23" s="3">
        <v>151</v>
      </c>
      <c r="M23" s="3">
        <v>20</v>
      </c>
      <c r="N23" s="3">
        <v>151</v>
      </c>
    </row>
    <row r="24" spans="10:14" x14ac:dyDescent="0.2">
      <c r="J24" s="3">
        <v>21</v>
      </c>
      <c r="K24" s="3">
        <v>148</v>
      </c>
      <c r="M24" s="3">
        <v>21</v>
      </c>
      <c r="N24" s="3">
        <v>151</v>
      </c>
    </row>
    <row r="25" spans="10:14" x14ac:dyDescent="0.2">
      <c r="J25" s="3">
        <v>22</v>
      </c>
      <c r="K25" s="3">
        <v>148</v>
      </c>
      <c r="M25" s="3">
        <v>22</v>
      </c>
      <c r="N25" s="3">
        <v>150</v>
      </c>
    </row>
    <row r="26" spans="10:14" x14ac:dyDescent="0.2">
      <c r="J26" s="3">
        <v>23</v>
      </c>
      <c r="K26" s="3">
        <v>152</v>
      </c>
      <c r="M26" s="3">
        <v>23</v>
      </c>
      <c r="N26" s="3">
        <v>152</v>
      </c>
    </row>
    <row r="27" spans="10:14" x14ac:dyDescent="0.2">
      <c r="J27" s="3">
        <v>24</v>
      </c>
      <c r="K27" s="3">
        <v>151</v>
      </c>
      <c r="M27" s="3">
        <v>24</v>
      </c>
      <c r="N27" s="3">
        <v>150</v>
      </c>
    </row>
    <row r="28" spans="10:14" x14ac:dyDescent="0.2">
      <c r="J28" s="3">
        <v>25</v>
      </c>
      <c r="K28" s="3">
        <v>148</v>
      </c>
      <c r="M28" s="3">
        <v>25</v>
      </c>
      <c r="N28" s="3">
        <v>149</v>
      </c>
    </row>
    <row r="30" spans="10:14" ht="30" x14ac:dyDescent="0.2">
      <c r="J30" s="6" t="s">
        <v>12</v>
      </c>
      <c r="K30" s="8">
        <f>AVERAGE(K4:K28)</f>
        <v>150.47999999999999</v>
      </c>
      <c r="M30" s="6" t="s">
        <v>12</v>
      </c>
      <c r="N30" s="8">
        <f>AVERAGE(N4:N28)</f>
        <v>150.68</v>
      </c>
    </row>
    <row r="32" spans="10:14" x14ac:dyDescent="0.2">
      <c r="J32" s="2" t="s">
        <v>27</v>
      </c>
    </row>
    <row r="33" spans="10:10" x14ac:dyDescent="0.2">
      <c r="J33" s="2" t="s">
        <v>28</v>
      </c>
    </row>
    <row r="35" spans="10:10" x14ac:dyDescent="0.2">
      <c r="J35" s="2" t="s">
        <v>29</v>
      </c>
    </row>
    <row r="36" spans="10:10" x14ac:dyDescent="0.2">
      <c r="J36" s="2" t="s">
        <v>30</v>
      </c>
    </row>
  </sheetData>
  <mergeCells count="3">
    <mergeCell ref="B2:D2"/>
    <mergeCell ref="F2:H2"/>
    <mergeCell ref="J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63DF8-6718-44FD-B74D-334594AAEDEC}">
  <dimension ref="B2:U114"/>
  <sheetViews>
    <sheetView workbookViewId="0">
      <selection activeCell="T3" sqref="T3"/>
    </sheetView>
  </sheetViews>
  <sheetFormatPr defaultRowHeight="14.25" x14ac:dyDescent="0.25"/>
  <cols>
    <col min="1" max="1" width="9.140625" style="14"/>
    <col min="2" max="2" width="13.28515625" style="14" customWidth="1"/>
    <col min="3" max="3" width="15.42578125" style="14" bestFit="1" customWidth="1"/>
    <col min="4" max="4" width="14.7109375" style="14" bestFit="1" customWidth="1"/>
    <col min="5" max="5" width="13.42578125" style="14" customWidth="1"/>
    <col min="6" max="6" width="15.42578125" style="14" customWidth="1"/>
    <col min="7" max="7" width="14.7109375" style="14" bestFit="1" customWidth="1"/>
    <col min="8" max="8" width="14.7109375" style="14" customWidth="1"/>
    <col min="9" max="9" width="13.7109375" style="14" customWidth="1"/>
    <col min="10" max="10" width="14.7109375" style="14" customWidth="1"/>
    <col min="11" max="11" width="9.140625" style="14"/>
    <col min="12" max="12" width="11.7109375" style="14" bestFit="1" customWidth="1"/>
    <col min="13" max="13" width="15.85546875" style="14" customWidth="1"/>
    <col min="14" max="14" width="9.140625" style="14"/>
    <col min="15" max="15" width="11.7109375" style="14" bestFit="1" customWidth="1"/>
    <col min="16" max="16" width="13.85546875" style="14" customWidth="1"/>
    <col min="17" max="19" width="9.140625" style="14"/>
    <col min="20" max="20" width="12.140625" style="14" customWidth="1"/>
    <col min="21" max="21" width="14.140625" style="14" customWidth="1"/>
    <col min="22" max="16384" width="9.140625" style="14"/>
  </cols>
  <sheetData>
    <row r="2" spans="2:21" ht="24" customHeight="1" x14ac:dyDescent="0.25">
      <c r="B2" s="13" t="s">
        <v>42</v>
      </c>
      <c r="C2" s="13"/>
      <c r="E2" s="13" t="s">
        <v>41</v>
      </c>
      <c r="F2" s="13"/>
      <c r="I2" s="17" t="s">
        <v>48</v>
      </c>
      <c r="J2" s="17"/>
      <c r="K2" s="16"/>
      <c r="L2" s="17" t="s">
        <v>50</v>
      </c>
      <c r="M2" s="17"/>
      <c r="O2" s="17" t="s">
        <v>51</v>
      </c>
      <c r="P2" s="17"/>
      <c r="T2" s="17" t="s">
        <v>57</v>
      </c>
      <c r="U2" s="17"/>
    </row>
    <row r="3" spans="2:21" ht="39" customHeight="1" x14ac:dyDescent="0.25">
      <c r="B3" s="6" t="s">
        <v>43</v>
      </c>
      <c r="C3" s="6" t="s">
        <v>40</v>
      </c>
      <c r="E3" s="6" t="s">
        <v>43</v>
      </c>
      <c r="F3" s="6" t="s">
        <v>40</v>
      </c>
      <c r="J3" s="6" t="s">
        <v>45</v>
      </c>
      <c r="M3" s="6" t="s">
        <v>45</v>
      </c>
      <c r="P3" s="6" t="s">
        <v>45</v>
      </c>
      <c r="U3" s="6" t="s">
        <v>45</v>
      </c>
    </row>
    <row r="4" spans="2:21" ht="15" x14ac:dyDescent="0.25">
      <c r="B4" s="3">
        <v>75</v>
      </c>
      <c r="C4" s="3">
        <v>298</v>
      </c>
      <c r="D4" s="15" t="s">
        <v>49</v>
      </c>
      <c r="E4" s="3">
        <v>75</v>
      </c>
      <c r="F4" s="3">
        <v>149</v>
      </c>
      <c r="G4" s="15" t="s">
        <v>49</v>
      </c>
      <c r="I4" s="6" t="s">
        <v>46</v>
      </c>
      <c r="J4" s="8">
        <f>AVERAGE(C4:C43)</f>
        <v>226.125</v>
      </c>
      <c r="L4" s="6" t="s">
        <v>46</v>
      </c>
      <c r="M4" s="8">
        <f>AVERAGE(C44:C80)</f>
        <v>150.40540540540542</v>
      </c>
      <c r="O4" s="6" t="s">
        <v>46</v>
      </c>
      <c r="P4" s="8">
        <f>AVERAGE(F82:F114)</f>
        <v>161.81818181818181</v>
      </c>
      <c r="T4" s="6" t="s">
        <v>56</v>
      </c>
      <c r="U4" s="8">
        <f>AVERAGE(M4:M5)</f>
        <v>148.51351351351352</v>
      </c>
    </row>
    <row r="5" spans="2:21" ht="15" x14ac:dyDescent="0.25">
      <c r="B5" s="3">
        <v>150</v>
      </c>
      <c r="C5" s="3">
        <v>220</v>
      </c>
      <c r="E5" s="3">
        <v>150</v>
      </c>
      <c r="F5" s="3">
        <v>217</v>
      </c>
      <c r="I5" s="6" t="s">
        <v>47</v>
      </c>
      <c r="J5" s="8">
        <f>AVERAGE(F5:F43)</f>
        <v>229.38461538461539</v>
      </c>
      <c r="L5" s="6" t="s">
        <v>47</v>
      </c>
      <c r="M5" s="8">
        <f>AVERAGE(F44:F80)</f>
        <v>146.62162162162161</v>
      </c>
      <c r="O5" s="6" t="s">
        <v>47</v>
      </c>
      <c r="P5" s="8">
        <f>AVERAGE(C81:C88)</f>
        <v>158</v>
      </c>
      <c r="T5" s="6" t="s">
        <v>34</v>
      </c>
      <c r="U5" s="8">
        <f>AVERAGE(J4:J5)-U4</f>
        <v>79.241294178794163</v>
      </c>
    </row>
    <row r="6" spans="2:21" ht="15" x14ac:dyDescent="0.25">
      <c r="B6" s="3">
        <v>225</v>
      </c>
      <c r="C6" s="3">
        <v>220</v>
      </c>
      <c r="E6" s="3">
        <v>225</v>
      </c>
      <c r="F6" s="3">
        <v>218</v>
      </c>
      <c r="I6" s="6" t="s">
        <v>53</v>
      </c>
      <c r="J6" s="8">
        <f>ABS(J4-J5)</f>
        <v>3.2596153846153868</v>
      </c>
      <c r="L6" s="6" t="s">
        <v>53</v>
      </c>
      <c r="M6" s="8">
        <f>ABS(M4-M5)</f>
        <v>3.7837837837838038</v>
      </c>
      <c r="O6" s="6" t="s">
        <v>53</v>
      </c>
      <c r="P6" s="8">
        <f>ABS(P4-P5)</f>
        <v>3.818181818181813</v>
      </c>
      <c r="T6" s="6" t="s">
        <v>55</v>
      </c>
      <c r="U6" s="8">
        <f>AVERAGE(P4:P5)-U4</f>
        <v>11.395577395577391</v>
      </c>
    </row>
    <row r="7" spans="2:21" x14ac:dyDescent="0.25">
      <c r="B7" s="3">
        <v>300</v>
      </c>
      <c r="C7" s="3">
        <v>219</v>
      </c>
      <c r="E7" s="3">
        <v>300</v>
      </c>
      <c r="F7" s="3">
        <v>221</v>
      </c>
    </row>
    <row r="8" spans="2:21" x14ac:dyDescent="0.25">
      <c r="B8" s="3">
        <v>375</v>
      </c>
      <c r="C8" s="3">
        <v>220</v>
      </c>
      <c r="E8" s="3">
        <v>375</v>
      </c>
      <c r="F8" s="3">
        <v>222</v>
      </c>
    </row>
    <row r="9" spans="2:21" x14ac:dyDescent="0.25">
      <c r="B9" s="3">
        <v>450</v>
      </c>
      <c r="C9" s="3">
        <v>223</v>
      </c>
      <c r="E9" s="3">
        <v>450</v>
      </c>
      <c r="F9" s="3">
        <v>220</v>
      </c>
      <c r="L9" s="18" t="s">
        <v>54</v>
      </c>
    </row>
    <row r="10" spans="2:21" x14ac:dyDescent="0.25">
      <c r="B10" s="3">
        <v>525</v>
      </c>
      <c r="C10" s="3">
        <v>222</v>
      </c>
      <c r="E10" s="3">
        <v>525</v>
      </c>
      <c r="F10" s="3">
        <v>225</v>
      </c>
    </row>
    <row r="11" spans="2:21" x14ac:dyDescent="0.25">
      <c r="B11" s="3">
        <v>600</v>
      </c>
      <c r="C11" s="3">
        <v>223</v>
      </c>
      <c r="E11" s="3">
        <v>600</v>
      </c>
      <c r="F11" s="3">
        <v>223</v>
      </c>
    </row>
    <row r="12" spans="2:21" x14ac:dyDescent="0.25">
      <c r="B12" s="3">
        <v>675</v>
      </c>
      <c r="C12" s="3">
        <v>222</v>
      </c>
      <c r="E12" s="3">
        <v>675</v>
      </c>
      <c r="F12" s="3">
        <v>218</v>
      </c>
    </row>
    <row r="13" spans="2:21" x14ac:dyDescent="0.25">
      <c r="B13" s="3">
        <v>750</v>
      </c>
      <c r="C13" s="3">
        <v>227</v>
      </c>
      <c r="E13" s="3">
        <v>750</v>
      </c>
      <c r="F13" s="3">
        <v>219</v>
      </c>
    </row>
    <row r="14" spans="2:21" x14ac:dyDescent="0.25">
      <c r="B14" s="3">
        <v>825</v>
      </c>
      <c r="C14" s="3">
        <v>223</v>
      </c>
      <c r="E14" s="3">
        <v>825</v>
      </c>
      <c r="F14" s="3">
        <v>218</v>
      </c>
    </row>
    <row r="15" spans="2:21" x14ac:dyDescent="0.25">
      <c r="B15" s="3">
        <v>900</v>
      </c>
      <c r="C15" s="3">
        <v>223</v>
      </c>
      <c r="E15" s="3">
        <v>900</v>
      </c>
      <c r="F15" s="3">
        <v>218</v>
      </c>
    </row>
    <row r="16" spans="2:21" x14ac:dyDescent="0.25">
      <c r="B16" s="3">
        <v>975</v>
      </c>
      <c r="C16" s="3">
        <v>223</v>
      </c>
      <c r="E16" s="3">
        <v>975</v>
      </c>
      <c r="F16" s="3">
        <v>219</v>
      </c>
    </row>
    <row r="17" spans="2:6" x14ac:dyDescent="0.25">
      <c r="B17" s="3">
        <v>1050</v>
      </c>
      <c r="C17" s="3">
        <v>224</v>
      </c>
      <c r="E17" s="3">
        <v>1050</v>
      </c>
      <c r="F17" s="3">
        <v>219</v>
      </c>
    </row>
    <row r="18" spans="2:6" x14ac:dyDescent="0.25">
      <c r="B18" s="3">
        <v>1125</v>
      </c>
      <c r="C18" s="3">
        <v>222</v>
      </c>
      <c r="E18" s="3">
        <v>1125</v>
      </c>
      <c r="F18" s="3">
        <v>218</v>
      </c>
    </row>
    <row r="19" spans="2:6" x14ac:dyDescent="0.25">
      <c r="B19" s="3">
        <v>1200</v>
      </c>
      <c r="C19" s="3">
        <v>221</v>
      </c>
      <c r="E19" s="3">
        <v>1200</v>
      </c>
      <c r="F19" s="3">
        <v>224</v>
      </c>
    </row>
    <row r="20" spans="2:6" x14ac:dyDescent="0.25">
      <c r="B20" s="3">
        <v>1275</v>
      </c>
      <c r="C20" s="3">
        <v>222</v>
      </c>
      <c r="E20" s="3">
        <v>1275</v>
      </c>
      <c r="F20" s="3">
        <v>223</v>
      </c>
    </row>
    <row r="21" spans="2:6" x14ac:dyDescent="0.25">
      <c r="B21" s="3">
        <v>1350</v>
      </c>
      <c r="C21" s="3">
        <v>221</v>
      </c>
      <c r="E21" s="3">
        <v>1350</v>
      </c>
      <c r="F21" s="3">
        <v>219</v>
      </c>
    </row>
    <row r="22" spans="2:6" x14ac:dyDescent="0.25">
      <c r="B22" s="3">
        <v>1425</v>
      </c>
      <c r="C22" s="3">
        <v>222</v>
      </c>
      <c r="E22" s="3">
        <v>1425</v>
      </c>
      <c r="F22" s="3">
        <v>220</v>
      </c>
    </row>
    <row r="23" spans="2:6" x14ac:dyDescent="0.25">
      <c r="B23" s="3">
        <v>1500</v>
      </c>
      <c r="C23" s="3">
        <v>218</v>
      </c>
      <c r="E23" s="3">
        <v>1500</v>
      </c>
      <c r="F23" s="3">
        <v>218</v>
      </c>
    </row>
    <row r="24" spans="2:6" x14ac:dyDescent="0.25">
      <c r="B24" s="3">
        <v>1575</v>
      </c>
      <c r="C24" s="3">
        <v>220</v>
      </c>
      <c r="E24" s="3">
        <v>1575</v>
      </c>
      <c r="F24" s="3">
        <v>218</v>
      </c>
    </row>
    <row r="25" spans="2:6" x14ac:dyDescent="0.25">
      <c r="B25" s="3">
        <v>1650</v>
      </c>
      <c r="C25" s="3">
        <v>220</v>
      </c>
      <c r="E25" s="3">
        <v>1650</v>
      </c>
      <c r="F25" s="3">
        <v>218</v>
      </c>
    </row>
    <row r="26" spans="2:6" x14ac:dyDescent="0.25">
      <c r="B26" s="3">
        <v>1725</v>
      </c>
      <c r="C26" s="3">
        <v>227</v>
      </c>
      <c r="E26" s="3">
        <v>1725</v>
      </c>
      <c r="F26" s="3">
        <v>218</v>
      </c>
    </row>
    <row r="27" spans="2:6" x14ac:dyDescent="0.25">
      <c r="B27" s="3">
        <v>1800</v>
      </c>
      <c r="C27" s="3">
        <v>224</v>
      </c>
      <c r="E27" s="3">
        <v>1800</v>
      </c>
      <c r="F27" s="3">
        <v>260</v>
      </c>
    </row>
    <row r="28" spans="2:6" x14ac:dyDescent="0.25">
      <c r="B28" s="3">
        <v>1875</v>
      </c>
      <c r="C28" s="3">
        <v>221</v>
      </c>
      <c r="E28" s="3">
        <v>1875</v>
      </c>
      <c r="F28" s="3">
        <v>261</v>
      </c>
    </row>
    <row r="29" spans="2:6" x14ac:dyDescent="0.25">
      <c r="B29" s="3">
        <v>1950</v>
      </c>
      <c r="C29" s="3">
        <v>265</v>
      </c>
      <c r="E29" s="3">
        <v>1950</v>
      </c>
      <c r="F29" s="3">
        <v>259</v>
      </c>
    </row>
    <row r="30" spans="2:6" x14ac:dyDescent="0.25">
      <c r="B30" s="3">
        <v>2025</v>
      </c>
      <c r="C30" s="3">
        <v>219</v>
      </c>
      <c r="E30" s="3">
        <v>2025</v>
      </c>
      <c r="F30" s="3">
        <v>222</v>
      </c>
    </row>
    <row r="31" spans="2:6" x14ac:dyDescent="0.25">
      <c r="B31" s="3">
        <v>2100</v>
      </c>
      <c r="C31" s="3">
        <v>225</v>
      </c>
      <c r="E31" s="3">
        <v>2100</v>
      </c>
      <c r="F31" s="3">
        <v>246</v>
      </c>
    </row>
    <row r="32" spans="2:6" x14ac:dyDescent="0.25">
      <c r="B32" s="3">
        <v>2175</v>
      </c>
      <c r="C32" s="3">
        <v>221</v>
      </c>
      <c r="E32" s="3">
        <v>2175</v>
      </c>
      <c r="F32" s="3">
        <v>228</v>
      </c>
    </row>
    <row r="33" spans="2:8" x14ac:dyDescent="0.25">
      <c r="B33" s="3">
        <v>2250</v>
      </c>
      <c r="C33" s="3">
        <v>221</v>
      </c>
      <c r="E33" s="3">
        <v>2250</v>
      </c>
      <c r="F33" s="3">
        <v>219</v>
      </c>
    </row>
    <row r="34" spans="2:8" x14ac:dyDescent="0.25">
      <c r="B34" s="3">
        <v>2325</v>
      </c>
      <c r="C34" s="3">
        <v>224</v>
      </c>
      <c r="E34" s="3">
        <v>2325</v>
      </c>
      <c r="F34" s="3">
        <v>254</v>
      </c>
    </row>
    <row r="35" spans="2:8" x14ac:dyDescent="0.25">
      <c r="B35" s="3">
        <v>2400</v>
      </c>
      <c r="C35" s="3">
        <v>229</v>
      </c>
      <c r="E35" s="3">
        <v>2400</v>
      </c>
      <c r="F35" s="3">
        <v>225</v>
      </c>
    </row>
    <row r="36" spans="2:8" x14ac:dyDescent="0.25">
      <c r="B36" s="3">
        <v>2475</v>
      </c>
      <c r="C36" s="3">
        <v>227</v>
      </c>
      <c r="E36" s="3">
        <v>2475</v>
      </c>
      <c r="F36" s="3">
        <v>221</v>
      </c>
    </row>
    <row r="37" spans="2:8" x14ac:dyDescent="0.25">
      <c r="B37" s="3">
        <v>2550</v>
      </c>
      <c r="C37" s="3">
        <v>223</v>
      </c>
      <c r="E37" s="3">
        <v>2550</v>
      </c>
      <c r="F37" s="3">
        <v>242</v>
      </c>
    </row>
    <row r="38" spans="2:8" x14ac:dyDescent="0.25">
      <c r="B38" s="3">
        <v>2625</v>
      </c>
      <c r="C38" s="3">
        <v>259</v>
      </c>
      <c r="E38" s="3">
        <v>2625</v>
      </c>
      <c r="F38" s="3">
        <v>259</v>
      </c>
    </row>
    <row r="39" spans="2:8" x14ac:dyDescent="0.25">
      <c r="B39" s="3">
        <v>2700</v>
      </c>
      <c r="C39" s="3">
        <v>225</v>
      </c>
      <c r="E39" s="3">
        <v>2700</v>
      </c>
      <c r="F39" s="3">
        <v>222</v>
      </c>
    </row>
    <row r="40" spans="2:8" x14ac:dyDescent="0.25">
      <c r="B40" s="3">
        <v>2775</v>
      </c>
      <c r="C40" s="3">
        <v>218</v>
      </c>
      <c r="E40" s="3">
        <v>2775</v>
      </c>
      <c r="F40" s="3">
        <v>259</v>
      </c>
    </row>
    <row r="41" spans="2:8" x14ac:dyDescent="0.25">
      <c r="B41" s="3">
        <v>2850</v>
      </c>
      <c r="C41" s="3">
        <v>222</v>
      </c>
      <c r="E41" s="3">
        <v>2850</v>
      </c>
      <c r="F41" s="3">
        <v>258</v>
      </c>
    </row>
    <row r="42" spans="2:8" x14ac:dyDescent="0.25">
      <c r="B42" s="3">
        <v>2925</v>
      </c>
      <c r="C42" s="3">
        <v>222</v>
      </c>
      <c r="E42" s="3">
        <v>2925</v>
      </c>
      <c r="F42" s="3">
        <v>219</v>
      </c>
    </row>
    <row r="43" spans="2:8" x14ac:dyDescent="0.25">
      <c r="B43" s="3">
        <v>3000</v>
      </c>
      <c r="C43" s="3">
        <v>220</v>
      </c>
      <c r="D43" s="15" t="s">
        <v>44</v>
      </c>
      <c r="E43" s="3">
        <v>3000</v>
      </c>
      <c r="F43" s="3">
        <v>259</v>
      </c>
      <c r="G43" s="15" t="s">
        <v>44</v>
      </c>
      <c r="H43" s="15"/>
    </row>
    <row r="44" spans="2:8" x14ac:dyDescent="0.25">
      <c r="B44" s="3">
        <v>3075</v>
      </c>
      <c r="C44" s="3">
        <v>150</v>
      </c>
      <c r="E44" s="3">
        <v>3075</v>
      </c>
      <c r="F44" s="3">
        <v>147</v>
      </c>
    </row>
    <row r="45" spans="2:8" x14ac:dyDescent="0.25">
      <c r="B45" s="3">
        <v>3150</v>
      </c>
      <c r="C45" s="3">
        <v>151</v>
      </c>
      <c r="E45" s="3">
        <v>3150</v>
      </c>
      <c r="F45" s="3">
        <v>149</v>
      </c>
    </row>
    <row r="46" spans="2:8" x14ac:dyDescent="0.25">
      <c r="B46" s="3">
        <v>3225</v>
      </c>
      <c r="C46" s="3">
        <v>152</v>
      </c>
      <c r="E46" s="3">
        <v>3225</v>
      </c>
      <c r="F46" s="3">
        <v>146</v>
      </c>
    </row>
    <row r="47" spans="2:8" x14ac:dyDescent="0.25">
      <c r="B47" s="3">
        <v>3300</v>
      </c>
      <c r="C47" s="3">
        <v>151</v>
      </c>
      <c r="E47" s="3">
        <v>3300</v>
      </c>
      <c r="F47" s="3">
        <v>147</v>
      </c>
    </row>
    <row r="48" spans="2:8" x14ac:dyDescent="0.25">
      <c r="B48" s="3">
        <v>3375</v>
      </c>
      <c r="C48" s="3">
        <v>149</v>
      </c>
      <c r="E48" s="3">
        <v>3375</v>
      </c>
      <c r="F48" s="3">
        <v>146</v>
      </c>
    </row>
    <row r="49" spans="2:6" x14ac:dyDescent="0.25">
      <c r="B49" s="3">
        <v>3450</v>
      </c>
      <c r="C49" s="3">
        <v>150</v>
      </c>
      <c r="E49" s="3">
        <v>3450</v>
      </c>
      <c r="F49" s="3">
        <v>149</v>
      </c>
    </row>
    <row r="50" spans="2:6" x14ac:dyDescent="0.25">
      <c r="B50" s="3">
        <v>3525</v>
      </c>
      <c r="C50" s="3">
        <v>148</v>
      </c>
      <c r="E50" s="3">
        <v>3525</v>
      </c>
      <c r="F50" s="3">
        <v>145</v>
      </c>
    </row>
    <row r="51" spans="2:6" x14ac:dyDescent="0.25">
      <c r="B51" s="3">
        <v>3600</v>
      </c>
      <c r="C51" s="3">
        <v>150</v>
      </c>
      <c r="E51" s="3">
        <v>3600</v>
      </c>
      <c r="F51" s="3">
        <v>148</v>
      </c>
    </row>
    <row r="52" spans="2:6" x14ac:dyDescent="0.25">
      <c r="B52" s="3">
        <v>3675</v>
      </c>
      <c r="C52" s="3">
        <v>151</v>
      </c>
      <c r="E52" s="3">
        <v>3675</v>
      </c>
      <c r="F52" s="3">
        <v>147</v>
      </c>
    </row>
    <row r="53" spans="2:6" x14ac:dyDescent="0.25">
      <c r="B53" s="3">
        <v>3750</v>
      </c>
      <c r="C53" s="3">
        <v>151</v>
      </c>
      <c r="E53" s="3">
        <v>3750</v>
      </c>
      <c r="F53" s="3">
        <v>148</v>
      </c>
    </row>
    <row r="54" spans="2:6" x14ac:dyDescent="0.25">
      <c r="B54" s="3">
        <v>3825</v>
      </c>
      <c r="C54" s="3">
        <v>151</v>
      </c>
      <c r="E54" s="3">
        <v>3825</v>
      </c>
      <c r="F54" s="3">
        <v>145</v>
      </c>
    </row>
    <row r="55" spans="2:6" x14ac:dyDescent="0.25">
      <c r="B55" s="3">
        <v>3900</v>
      </c>
      <c r="C55" s="3">
        <v>154</v>
      </c>
      <c r="E55" s="3">
        <v>3900</v>
      </c>
      <c r="F55" s="3">
        <v>149</v>
      </c>
    </row>
    <row r="56" spans="2:6" x14ac:dyDescent="0.25">
      <c r="B56" s="3">
        <v>3975</v>
      </c>
      <c r="C56" s="3">
        <v>151</v>
      </c>
      <c r="E56" s="3">
        <v>3975</v>
      </c>
      <c r="F56" s="3">
        <v>149</v>
      </c>
    </row>
    <row r="57" spans="2:6" x14ac:dyDescent="0.25">
      <c r="B57" s="3">
        <v>4050</v>
      </c>
      <c r="C57" s="3">
        <v>152</v>
      </c>
      <c r="E57" s="3">
        <v>4050</v>
      </c>
      <c r="F57" s="3">
        <v>145</v>
      </c>
    </row>
    <row r="58" spans="2:6" x14ac:dyDescent="0.25">
      <c r="B58" s="3">
        <v>4125</v>
      </c>
      <c r="C58" s="3">
        <v>151</v>
      </c>
      <c r="E58" s="3">
        <v>4125</v>
      </c>
      <c r="F58" s="3">
        <v>144</v>
      </c>
    </row>
    <row r="59" spans="2:6" x14ac:dyDescent="0.25">
      <c r="B59" s="3">
        <v>4200</v>
      </c>
      <c r="C59" s="3">
        <v>150</v>
      </c>
      <c r="E59" s="3">
        <v>4200</v>
      </c>
      <c r="F59" s="3">
        <v>145</v>
      </c>
    </row>
    <row r="60" spans="2:6" x14ac:dyDescent="0.25">
      <c r="B60" s="3">
        <v>4275</v>
      </c>
      <c r="C60" s="3">
        <v>152</v>
      </c>
      <c r="E60" s="3">
        <v>4275</v>
      </c>
      <c r="F60" s="3">
        <v>146</v>
      </c>
    </row>
    <row r="61" spans="2:6" x14ac:dyDescent="0.25">
      <c r="B61" s="3">
        <v>4350</v>
      </c>
      <c r="C61" s="3">
        <v>152</v>
      </c>
      <c r="E61" s="3">
        <v>4350</v>
      </c>
      <c r="F61" s="3">
        <v>147</v>
      </c>
    </row>
    <row r="62" spans="2:6" x14ac:dyDescent="0.25">
      <c r="B62" s="3">
        <v>4425</v>
      </c>
      <c r="C62" s="3">
        <v>152</v>
      </c>
      <c r="E62" s="3">
        <v>4425</v>
      </c>
      <c r="F62" s="3">
        <v>147</v>
      </c>
    </row>
    <row r="63" spans="2:6" x14ac:dyDescent="0.25">
      <c r="B63" s="3">
        <v>4500</v>
      </c>
      <c r="C63" s="3">
        <v>150</v>
      </c>
      <c r="E63" s="3">
        <v>4500</v>
      </c>
      <c r="F63" s="3">
        <v>148</v>
      </c>
    </row>
    <row r="64" spans="2:6" x14ac:dyDescent="0.25">
      <c r="B64" s="3">
        <v>4575</v>
      </c>
      <c r="C64" s="3">
        <v>151</v>
      </c>
      <c r="E64" s="3">
        <v>4575</v>
      </c>
      <c r="F64" s="3">
        <v>146</v>
      </c>
    </row>
    <row r="65" spans="2:6" x14ac:dyDescent="0.25">
      <c r="B65" s="3">
        <v>4650</v>
      </c>
      <c r="C65" s="3">
        <v>149</v>
      </c>
      <c r="E65" s="3">
        <v>4650</v>
      </c>
      <c r="F65" s="3">
        <v>148</v>
      </c>
    </row>
    <row r="66" spans="2:6" x14ac:dyDescent="0.25">
      <c r="B66" s="3">
        <v>4725</v>
      </c>
      <c r="C66" s="3">
        <v>151</v>
      </c>
      <c r="E66" s="3">
        <v>4725</v>
      </c>
      <c r="F66" s="3">
        <v>145</v>
      </c>
    </row>
    <row r="67" spans="2:6" x14ac:dyDescent="0.25">
      <c r="B67" s="3">
        <v>4800</v>
      </c>
      <c r="C67" s="3">
        <v>149</v>
      </c>
      <c r="E67" s="3">
        <v>4800</v>
      </c>
      <c r="F67" s="3">
        <v>148</v>
      </c>
    </row>
    <row r="68" spans="2:6" x14ac:dyDescent="0.25">
      <c r="B68" s="3">
        <v>4875</v>
      </c>
      <c r="C68" s="3">
        <v>151</v>
      </c>
      <c r="E68" s="3">
        <v>4875</v>
      </c>
      <c r="F68" s="3">
        <v>145</v>
      </c>
    </row>
    <row r="69" spans="2:6" x14ac:dyDescent="0.25">
      <c r="B69" s="3">
        <v>4950</v>
      </c>
      <c r="C69" s="3">
        <v>149</v>
      </c>
      <c r="E69" s="3">
        <v>4950</v>
      </c>
      <c r="F69" s="3">
        <v>145</v>
      </c>
    </row>
    <row r="70" spans="2:6" x14ac:dyDescent="0.25">
      <c r="B70" s="3">
        <v>5025</v>
      </c>
      <c r="C70" s="3">
        <v>149</v>
      </c>
      <c r="E70" s="3">
        <v>5025</v>
      </c>
      <c r="F70" s="3">
        <v>144</v>
      </c>
    </row>
    <row r="71" spans="2:6" x14ac:dyDescent="0.25">
      <c r="B71" s="3">
        <v>5100</v>
      </c>
      <c r="C71" s="3">
        <v>148</v>
      </c>
      <c r="E71" s="3">
        <v>5100</v>
      </c>
      <c r="F71" s="3">
        <v>148</v>
      </c>
    </row>
    <row r="72" spans="2:6" x14ac:dyDescent="0.25">
      <c r="B72" s="3">
        <v>5175</v>
      </c>
      <c r="C72" s="3">
        <v>152</v>
      </c>
      <c r="E72" s="3">
        <v>5175</v>
      </c>
      <c r="F72" s="3">
        <v>148</v>
      </c>
    </row>
    <row r="73" spans="2:6" x14ac:dyDescent="0.25">
      <c r="B73" s="3">
        <v>5250</v>
      </c>
      <c r="C73" s="3">
        <v>151</v>
      </c>
      <c r="E73" s="3">
        <v>5250</v>
      </c>
      <c r="F73" s="3">
        <v>146</v>
      </c>
    </row>
    <row r="74" spans="2:6" x14ac:dyDescent="0.25">
      <c r="B74" s="3">
        <v>5325</v>
      </c>
      <c r="C74" s="3">
        <v>149</v>
      </c>
      <c r="E74" s="3">
        <v>5325</v>
      </c>
      <c r="F74" s="3">
        <v>148</v>
      </c>
    </row>
    <row r="75" spans="2:6" x14ac:dyDescent="0.25">
      <c r="B75" s="3">
        <v>5400</v>
      </c>
      <c r="C75" s="3">
        <v>149</v>
      </c>
      <c r="E75" s="3">
        <v>5400</v>
      </c>
      <c r="F75" s="3">
        <v>148</v>
      </c>
    </row>
    <row r="76" spans="2:6" x14ac:dyDescent="0.25">
      <c r="B76" s="3">
        <v>5475</v>
      </c>
      <c r="C76" s="3">
        <v>151</v>
      </c>
      <c r="E76" s="3">
        <v>5475</v>
      </c>
      <c r="F76" s="3">
        <v>145</v>
      </c>
    </row>
    <row r="77" spans="2:6" x14ac:dyDescent="0.25">
      <c r="B77" s="3">
        <v>5550</v>
      </c>
      <c r="C77" s="3">
        <v>149</v>
      </c>
      <c r="E77" s="3">
        <v>5550</v>
      </c>
      <c r="F77" s="3">
        <v>145</v>
      </c>
    </row>
    <row r="78" spans="2:6" x14ac:dyDescent="0.25">
      <c r="B78" s="3">
        <v>5625</v>
      </c>
      <c r="C78" s="3">
        <v>149</v>
      </c>
      <c r="E78" s="3">
        <v>5625</v>
      </c>
      <c r="F78" s="3">
        <v>145</v>
      </c>
    </row>
    <row r="79" spans="2:6" x14ac:dyDescent="0.25">
      <c r="B79" s="3">
        <v>5700</v>
      </c>
      <c r="C79" s="3">
        <v>151</v>
      </c>
      <c r="E79" s="3">
        <v>5700</v>
      </c>
      <c r="F79" s="3">
        <v>145</v>
      </c>
    </row>
    <row r="80" spans="2:6" x14ac:dyDescent="0.25">
      <c r="B80" s="3">
        <v>5775</v>
      </c>
      <c r="C80" s="3">
        <v>149</v>
      </c>
      <c r="E80" s="3">
        <v>5775</v>
      </c>
      <c r="F80" s="3">
        <v>149</v>
      </c>
    </row>
    <row r="81" spans="2:7" x14ac:dyDescent="0.25">
      <c r="B81" s="3">
        <v>5850</v>
      </c>
      <c r="C81" s="3">
        <v>157</v>
      </c>
      <c r="D81" s="15" t="s">
        <v>52</v>
      </c>
      <c r="E81" s="3">
        <v>5850</v>
      </c>
      <c r="F81" s="3">
        <v>151</v>
      </c>
      <c r="G81" s="15" t="s">
        <v>52</v>
      </c>
    </row>
    <row r="82" spans="2:7" x14ac:dyDescent="0.25">
      <c r="B82" s="3">
        <v>5925</v>
      </c>
      <c r="C82" s="3">
        <v>160</v>
      </c>
      <c r="E82" s="3">
        <v>5925</v>
      </c>
      <c r="F82" s="3">
        <v>157</v>
      </c>
    </row>
    <row r="83" spans="2:7" x14ac:dyDescent="0.25">
      <c r="B83" s="3">
        <v>6000</v>
      </c>
      <c r="C83" s="3">
        <v>158</v>
      </c>
      <c r="E83" s="3">
        <v>6000</v>
      </c>
      <c r="F83" s="3">
        <v>156</v>
      </c>
    </row>
    <row r="84" spans="2:7" x14ac:dyDescent="0.25">
      <c r="B84" s="3">
        <v>6075</v>
      </c>
      <c r="C84" s="3">
        <v>160</v>
      </c>
      <c r="E84" s="3">
        <v>6075</v>
      </c>
      <c r="F84" s="3">
        <v>153</v>
      </c>
    </row>
    <row r="85" spans="2:7" x14ac:dyDescent="0.25">
      <c r="B85" s="3">
        <v>6150</v>
      </c>
      <c r="C85" s="3">
        <v>155</v>
      </c>
      <c r="E85" s="3">
        <v>6150</v>
      </c>
      <c r="F85" s="3">
        <v>155</v>
      </c>
    </row>
    <row r="86" spans="2:7" x14ac:dyDescent="0.25">
      <c r="B86" s="3">
        <v>6225</v>
      </c>
      <c r="C86" s="3">
        <v>155</v>
      </c>
      <c r="E86" s="3">
        <v>6225</v>
      </c>
      <c r="F86" s="3">
        <v>156</v>
      </c>
    </row>
    <row r="87" spans="2:7" x14ac:dyDescent="0.25">
      <c r="B87" s="3">
        <v>6300</v>
      </c>
      <c r="C87" s="3">
        <v>160</v>
      </c>
      <c r="E87" s="3">
        <v>6300</v>
      </c>
      <c r="F87" s="3">
        <v>154</v>
      </c>
    </row>
    <row r="88" spans="2:7" x14ac:dyDescent="0.25">
      <c r="B88" s="3">
        <v>6375</v>
      </c>
      <c r="C88" s="3">
        <v>159</v>
      </c>
      <c r="E88" s="3">
        <v>6375</v>
      </c>
      <c r="F88" s="3">
        <v>156</v>
      </c>
    </row>
    <row r="89" spans="2:7" x14ac:dyDescent="0.25">
      <c r="E89" s="3">
        <v>6450</v>
      </c>
      <c r="F89" s="3">
        <v>155</v>
      </c>
    </row>
    <row r="90" spans="2:7" x14ac:dyDescent="0.25">
      <c r="E90" s="3">
        <v>6525</v>
      </c>
      <c r="F90" s="3">
        <v>151</v>
      </c>
    </row>
    <row r="91" spans="2:7" x14ac:dyDescent="0.25">
      <c r="E91" s="3">
        <v>6600</v>
      </c>
      <c r="F91" s="3">
        <v>151</v>
      </c>
    </row>
    <row r="92" spans="2:7" x14ac:dyDescent="0.25">
      <c r="E92" s="3">
        <v>6675</v>
      </c>
      <c r="F92" s="3">
        <v>160</v>
      </c>
    </row>
    <row r="93" spans="2:7" x14ac:dyDescent="0.25">
      <c r="E93" s="3">
        <v>6750</v>
      </c>
      <c r="F93" s="3">
        <v>153</v>
      </c>
    </row>
    <row r="94" spans="2:7" x14ac:dyDescent="0.25">
      <c r="E94" s="3">
        <v>6825</v>
      </c>
      <c r="F94" s="3">
        <v>151</v>
      </c>
    </row>
    <row r="95" spans="2:7" x14ac:dyDescent="0.25">
      <c r="E95" s="3">
        <v>6900</v>
      </c>
      <c r="F95" s="3">
        <v>161</v>
      </c>
    </row>
    <row r="96" spans="2:7" x14ac:dyDescent="0.25">
      <c r="E96" s="3">
        <v>6975</v>
      </c>
      <c r="F96" s="3">
        <v>154</v>
      </c>
    </row>
    <row r="97" spans="5:6" x14ac:dyDescent="0.25">
      <c r="E97" s="3">
        <v>7050</v>
      </c>
      <c r="F97" s="3">
        <v>154</v>
      </c>
    </row>
    <row r="98" spans="5:6" x14ac:dyDescent="0.25">
      <c r="E98" s="3">
        <v>7125</v>
      </c>
      <c r="F98" s="3">
        <v>196</v>
      </c>
    </row>
    <row r="99" spans="5:6" x14ac:dyDescent="0.25">
      <c r="E99" s="3">
        <v>7200</v>
      </c>
      <c r="F99" s="3">
        <v>192</v>
      </c>
    </row>
    <row r="100" spans="5:6" x14ac:dyDescent="0.25">
      <c r="E100" s="3">
        <v>7275</v>
      </c>
      <c r="F100" s="3">
        <v>193</v>
      </c>
    </row>
    <row r="101" spans="5:6" x14ac:dyDescent="0.25">
      <c r="E101" s="3">
        <v>7350</v>
      </c>
      <c r="F101" s="3">
        <v>194</v>
      </c>
    </row>
    <row r="102" spans="5:6" x14ac:dyDescent="0.25">
      <c r="E102" s="3">
        <v>7425</v>
      </c>
      <c r="F102" s="3">
        <v>190</v>
      </c>
    </row>
    <row r="103" spans="5:6" x14ac:dyDescent="0.25">
      <c r="E103" s="3">
        <v>7500</v>
      </c>
      <c r="F103" s="3">
        <v>191</v>
      </c>
    </row>
    <row r="104" spans="5:6" x14ac:dyDescent="0.25">
      <c r="E104" s="3">
        <v>7575</v>
      </c>
      <c r="F104" s="3">
        <v>171</v>
      </c>
    </row>
    <row r="105" spans="5:6" x14ac:dyDescent="0.25">
      <c r="E105" s="3">
        <v>7650</v>
      </c>
      <c r="F105" s="3">
        <v>154</v>
      </c>
    </row>
    <row r="106" spans="5:6" x14ac:dyDescent="0.25">
      <c r="E106" s="3">
        <v>7725</v>
      </c>
      <c r="F106" s="3">
        <v>152</v>
      </c>
    </row>
    <row r="107" spans="5:6" x14ac:dyDescent="0.25">
      <c r="E107" s="3">
        <v>7800</v>
      </c>
      <c r="F107" s="3">
        <v>154</v>
      </c>
    </row>
    <row r="108" spans="5:6" x14ac:dyDescent="0.25">
      <c r="E108" s="3">
        <v>7875</v>
      </c>
      <c r="F108" s="3">
        <v>154</v>
      </c>
    </row>
    <row r="109" spans="5:6" x14ac:dyDescent="0.25">
      <c r="E109" s="3">
        <v>7950</v>
      </c>
      <c r="F109" s="3">
        <v>154</v>
      </c>
    </row>
    <row r="110" spans="5:6" x14ac:dyDescent="0.25">
      <c r="E110" s="3">
        <v>8025</v>
      </c>
      <c r="F110" s="3">
        <v>158</v>
      </c>
    </row>
    <row r="111" spans="5:6" x14ac:dyDescent="0.25">
      <c r="E111" s="3">
        <v>8100</v>
      </c>
      <c r="F111" s="3">
        <v>151</v>
      </c>
    </row>
    <row r="112" spans="5:6" x14ac:dyDescent="0.25">
      <c r="E112" s="3">
        <v>8175</v>
      </c>
      <c r="F112" s="3">
        <v>151</v>
      </c>
    </row>
    <row r="113" spans="5:6" x14ac:dyDescent="0.25">
      <c r="E113" s="3">
        <v>8250</v>
      </c>
      <c r="F113" s="3">
        <v>155</v>
      </c>
    </row>
    <row r="114" spans="5:6" x14ac:dyDescent="0.25">
      <c r="E114" s="3">
        <v>8325</v>
      </c>
      <c r="F114" s="3">
        <v>153</v>
      </c>
    </row>
  </sheetData>
  <mergeCells count="6">
    <mergeCell ref="B2:C2"/>
    <mergeCell ref="E2:F2"/>
    <mergeCell ref="I2:J2"/>
    <mergeCell ref="L2:M2"/>
    <mergeCell ref="O2:P2"/>
    <mergeCell ref="T2:U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03045-3C2D-471C-842A-3F9D869D102D}">
  <dimension ref="B2:E14"/>
  <sheetViews>
    <sheetView tabSelected="1" zoomScaleNormal="100" workbookViewId="0">
      <selection activeCell="O33" sqref="O33"/>
    </sheetView>
  </sheetViews>
  <sheetFormatPr defaultRowHeight="14.25" x14ac:dyDescent="0.25"/>
  <cols>
    <col min="1" max="1" width="9.140625" style="14"/>
    <col min="2" max="4" width="16.140625" style="14" customWidth="1"/>
    <col min="5" max="5" width="39.85546875" style="14" customWidth="1"/>
    <col min="6" max="16384" width="9.140625" style="14"/>
  </cols>
  <sheetData>
    <row r="2" spans="2:5" ht="33.75" customHeight="1" x14ac:dyDescent="0.25">
      <c r="B2" s="19" t="s">
        <v>2</v>
      </c>
      <c r="C2" s="19" t="s">
        <v>31</v>
      </c>
      <c r="D2" s="19" t="s">
        <v>32</v>
      </c>
      <c r="E2" s="19" t="s">
        <v>59</v>
      </c>
    </row>
    <row r="3" spans="2:5" x14ac:dyDescent="0.25">
      <c r="B3" s="3" t="s">
        <v>36</v>
      </c>
      <c r="C3" s="3">
        <v>1</v>
      </c>
      <c r="D3" s="7">
        <f>'SYS INFO'!$C$5*C3</f>
        <v>3.3</v>
      </c>
      <c r="E3" s="7" t="s">
        <v>60</v>
      </c>
    </row>
    <row r="4" spans="2:5" x14ac:dyDescent="0.25">
      <c r="B4" s="3" t="s">
        <v>37</v>
      </c>
      <c r="C4" s="3"/>
      <c r="D4" s="7">
        <f>Baselines!H10</f>
        <v>10.652680851063831</v>
      </c>
      <c r="E4" s="7" t="s">
        <v>61</v>
      </c>
    </row>
    <row r="5" spans="2:5" x14ac:dyDescent="0.25">
      <c r="B5" s="3" t="s">
        <v>38</v>
      </c>
      <c r="C5" s="3">
        <v>6</v>
      </c>
      <c r="D5" s="7">
        <f>'SYS INFO'!$C$5*C5</f>
        <v>19.799999999999997</v>
      </c>
      <c r="E5" s="7" t="s">
        <v>60</v>
      </c>
    </row>
    <row r="6" spans="2:5" x14ac:dyDescent="0.25">
      <c r="B6" s="3" t="s">
        <v>39</v>
      </c>
      <c r="C6" s="3">
        <f>0.001</f>
        <v>1E-3</v>
      </c>
      <c r="D6" s="7">
        <f>'SYS INFO'!$C$5*C6</f>
        <v>3.3E-3</v>
      </c>
      <c r="E6" s="7" t="s">
        <v>60</v>
      </c>
    </row>
    <row r="7" spans="2:5" x14ac:dyDescent="0.25">
      <c r="B7" s="3" t="s">
        <v>35</v>
      </c>
      <c r="C7" s="3">
        <v>19.600000000000001</v>
      </c>
      <c r="D7" s="7">
        <f>'SYS INFO'!$C$5*C7</f>
        <v>64.680000000000007</v>
      </c>
      <c r="E7" s="7" t="s">
        <v>62</v>
      </c>
    </row>
    <row r="8" spans="2:5" x14ac:dyDescent="0.25">
      <c r="B8" s="3" t="s">
        <v>33</v>
      </c>
      <c r="C8" s="3">
        <v>15</v>
      </c>
      <c r="D8" s="7">
        <f>'SYS INFO'!$C$5*C8</f>
        <v>49.5</v>
      </c>
      <c r="E8" s="7" t="s">
        <v>60</v>
      </c>
    </row>
    <row r="9" spans="2:5" x14ac:dyDescent="0.25">
      <c r="B9" s="3" t="s">
        <v>34</v>
      </c>
      <c r="C9" s="3"/>
      <c r="D9" s="7">
        <f>'Camera Test'!U5</f>
        <v>79.241294178794163</v>
      </c>
      <c r="E9" s="7" t="s">
        <v>61</v>
      </c>
    </row>
    <row r="10" spans="2:5" x14ac:dyDescent="0.25">
      <c r="B10" s="3" t="s">
        <v>58</v>
      </c>
      <c r="C10" s="3"/>
      <c r="D10" s="7">
        <f>'Camera Test'!U6</f>
        <v>11.395577395577391</v>
      </c>
      <c r="E10" s="7" t="s">
        <v>61</v>
      </c>
    </row>
    <row r="11" spans="2:5" x14ac:dyDescent="0.25">
      <c r="B11" s="3" t="s">
        <v>64</v>
      </c>
      <c r="C11" s="3"/>
      <c r="D11" s="7">
        <f>('SYS INFO'!C4-'SYS INFO'!C5)*(SUM(D3:D10)/('SYS INFO'!C5*1000))*1000</f>
        <v>122.90116640098188</v>
      </c>
      <c r="E11" s="3" t="s">
        <v>63</v>
      </c>
    </row>
    <row r="12" spans="2:5" x14ac:dyDescent="0.25">
      <c r="B12" s="3" t="s">
        <v>66</v>
      </c>
      <c r="C12" s="3"/>
      <c r="D12" s="7">
        <f>('SYS INFO'!C4-'SYS INFO'!C5)*(SUM(D3:D7)/('SYS INFO'!C5*1000))*1000</f>
        <v>50.709444680851078</v>
      </c>
      <c r="E12" s="3" t="s">
        <v>63</v>
      </c>
    </row>
    <row r="13" spans="2:5" ht="15" x14ac:dyDescent="0.25">
      <c r="C13" s="19" t="s">
        <v>65</v>
      </c>
      <c r="D13" s="7">
        <f>SUM(D3:D11)</f>
        <v>361.47401882641725</v>
      </c>
    </row>
    <row r="14" spans="2:5" ht="15" x14ac:dyDescent="0.25">
      <c r="C14" s="19" t="s">
        <v>67</v>
      </c>
      <c r="D14" s="7">
        <f>SUM(D3:D7)+D12</f>
        <v>149.14542553191492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SYS INFO</vt:lpstr>
      <vt:lpstr>Baselines</vt:lpstr>
      <vt:lpstr>Camera Test</vt:lpstr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Abbott</dc:creator>
  <cp:lastModifiedBy>Felix Abbott</cp:lastModifiedBy>
  <dcterms:created xsi:type="dcterms:W3CDTF">2015-06-05T18:17:20Z</dcterms:created>
  <dcterms:modified xsi:type="dcterms:W3CDTF">2026-08-03T17:06:23Z</dcterms:modified>
</cp:coreProperties>
</file>